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mdur\OneDrive\Desktop\nyu_data_science_bootcamp\311-nyc-public-restrooms\"/>
    </mc:Choice>
  </mc:AlternateContent>
  <xr:revisionPtr revIDLastSave="0" documentId="13_ncr:1_{65882AA0-031B-4DDD-8DD1-AD57E8B02A02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D6" i="1"/>
  <c r="D7" i="1"/>
  <c r="D8" i="1"/>
  <c r="D9" i="1"/>
  <c r="D10" i="1"/>
  <c r="D5" i="1"/>
  <c r="F7" i="1"/>
  <c r="F8" i="1"/>
</calcChain>
</file>

<file path=xl/sharedStrings.xml><?xml version="1.0" encoding="utf-8"?>
<sst xmlns="http://schemas.openxmlformats.org/spreadsheetml/2006/main" count="10" uniqueCount="8">
  <si>
    <t>City Population</t>
  </si>
  <si>
    <t>Count, Restrooms</t>
  </si>
  <si>
    <t>Restrooms per 10,000 pop</t>
  </si>
  <si>
    <t>Residents per restroom</t>
  </si>
  <si>
    <t>Freestanding permanent</t>
  </si>
  <si>
    <t>In park buildings</t>
  </si>
  <si>
    <t>Total</t>
  </si>
  <si>
    <t>Semi-permanent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</si>
</sst>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2" applyNumberFormat="0" applyFont="0" applyFill="0" applyAlignment="0" applyProtection="0"/>
  </cellStyleXfs>
  <cellXfs count="25">
    <xf numFmtId="0" fontId="0" fillId="0" borderId="0" xfId="0"/>
    <xf numFmtId="0" fontId="0" fillId="2" borderId="0" xfId="0" applyFill="1" applyAlignment="1">
      <alignment wrapText="1"/>
    </xf>
    <xf numFmtId="3" fontId="3" fillId="2" borderId="0" xfId="0" applyNumberFormat="1" applyFont="1" applyFill="1" applyAlignment="1">
      <alignment wrapText="1"/>
    </xf>
    <xf numFmtId="3" fontId="2" fillId="2" borderId="4" xfId="0" applyNumberFormat="1" applyFont="1" applyFill="1" applyBorder="1" applyAlignment="1">
      <alignment wrapText="1"/>
    </xf>
    <xf numFmtId="3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/>
    <xf numFmtId="3" fontId="4" fillId="2" borderId="1" xfId="0" applyNumberFormat="1" applyFont="1" applyFill="1" applyBorder="1" applyAlignment="1">
      <alignment horizontal="right" wrapText="1"/>
    </xf>
    <xf numFmtId="164" fontId="4" fillId="2" borderId="1" xfId="0" applyNumberFormat="1" applyFont="1" applyFill="1" applyBorder="1" applyAlignment="1">
      <alignment horizontal="right" wrapText="1"/>
    </xf>
    <xf numFmtId="0" fontId="4" fillId="2" borderId="0" xfId="0" applyFont="1" applyFill="1"/>
    <xf numFmtId="3" fontId="0" fillId="2" borderId="0" xfId="0" applyNumberFormat="1" applyFill="1"/>
    <xf numFmtId="3" fontId="4" fillId="2" borderId="0" xfId="0" applyNumberFormat="1" applyFont="1" applyFill="1" applyBorder="1" applyAlignment="1">
      <alignment horizontal="right" wrapText="1"/>
    </xf>
    <xf numFmtId="3" fontId="3" fillId="2" borderId="2" xfId="2" applyNumberFormat="1" applyFont="1" applyFill="1"/>
    <xf numFmtId="3" fontId="3" fillId="2" borderId="2" xfId="2" applyNumberFormat="1" applyFont="1" applyFill="1" applyAlignment="1">
      <alignment horizontal="right"/>
    </xf>
    <xf numFmtId="3" fontId="3" fillId="2" borderId="3" xfId="2" applyNumberFormat="1" applyFont="1" applyFill="1" applyBorder="1"/>
    <xf numFmtId="166" fontId="3" fillId="2" borderId="2" xfId="1" applyNumberFormat="1" applyFont="1" applyFill="1" applyBorder="1"/>
    <xf numFmtId="3" fontId="3" fillId="2" borderId="0" xfId="2" applyNumberFormat="1" applyFont="1" applyFill="1" applyBorder="1" applyAlignment="1">
      <alignment horizontal="right"/>
    </xf>
    <xf numFmtId="0" fontId="3" fillId="2" borderId="0" xfId="0" applyFont="1" applyFill="1"/>
    <xf numFmtId="0" fontId="2" fillId="2" borderId="0" xfId="0" applyFont="1" applyFill="1" applyBorder="1" applyAlignment="1">
      <alignment wrapText="1"/>
    </xf>
    <xf numFmtId="166" fontId="3" fillId="2" borderId="0" xfId="1" applyNumberFormat="1" applyFont="1" applyFill="1" applyBorder="1"/>
    <xf numFmtId="166" fontId="3" fillId="2" borderId="3" xfId="1" applyNumberFormat="1" applyFont="1" applyFill="1" applyBorder="1"/>
    <xf numFmtId="3" fontId="2" fillId="2" borderId="1" xfId="0" applyNumberFormat="1" applyFont="1" applyFill="1" applyBorder="1" applyAlignment="1">
      <alignment wrapText="1"/>
    </xf>
    <xf numFmtId="43" fontId="3" fillId="2" borderId="2" xfId="1" applyNumberFormat="1" applyFont="1" applyFill="1" applyBorder="1"/>
    <xf numFmtId="43" fontId="3" fillId="2" borderId="3" xfId="1" applyNumberFormat="1" applyFont="1" applyFill="1" applyBorder="1"/>
    <xf numFmtId="166" fontId="3" fillId="2" borderId="2" xfId="1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Style 1" xfId="2" xr:uid="{BFD7DB5A-7080-4068-B898-76000C6885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10"/>
  <sheetViews>
    <sheetView tabSelected="1" zoomScale="140" zoomScaleNormal="140" workbookViewId="0">
      <selection activeCell="S12" sqref="S12"/>
    </sheetView>
  </sheetViews>
  <sheetFormatPr defaultRowHeight="14.4" x14ac:dyDescent="0.55000000000000004"/>
  <cols>
    <col min="1" max="3" width="8.83984375" style="6"/>
    <col min="4" max="5" width="8.89453125" style="6" bestFit="1" customWidth="1"/>
    <col min="6" max="6" width="9.7890625" style="6" bestFit="1" customWidth="1"/>
    <col min="7" max="17" width="0" style="6" hidden="1" customWidth="1"/>
    <col min="18" max="16384" width="8.83984375" style="6"/>
  </cols>
  <sheetData>
    <row r="3" spans="2:16" s="1" customFormat="1" ht="26.1" thickBot="1" x14ac:dyDescent="0.6">
      <c r="C3" s="2"/>
      <c r="D3" s="2"/>
      <c r="E3" s="2"/>
      <c r="F3" s="2"/>
      <c r="G3" s="2"/>
      <c r="H3" s="2"/>
      <c r="I3" s="3" t="s">
        <v>1</v>
      </c>
      <c r="J3" s="3"/>
      <c r="K3" s="4"/>
      <c r="M3" s="5"/>
    </row>
    <row r="4" spans="2:16" ht="38.4" x14ac:dyDescent="0.55000000000000004">
      <c r="B4" s="21"/>
      <c r="C4" s="21" t="s">
        <v>0</v>
      </c>
      <c r="D4" s="21" t="s">
        <v>1</v>
      </c>
      <c r="E4" s="21" t="s">
        <v>2</v>
      </c>
      <c r="F4" s="21" t="s">
        <v>3</v>
      </c>
      <c r="G4" s="18"/>
      <c r="H4" s="18"/>
      <c r="I4" s="7" t="s">
        <v>4</v>
      </c>
      <c r="J4" s="7" t="s">
        <v>5</v>
      </c>
      <c r="K4" s="7" t="s">
        <v>7</v>
      </c>
      <c r="L4" s="8" t="s">
        <v>6</v>
      </c>
      <c r="M4" s="9"/>
      <c r="N4" s="8" t="s">
        <v>6</v>
      </c>
    </row>
    <row r="5" spans="2:16" x14ac:dyDescent="0.55000000000000004">
      <c r="B5" s="13">
        <v>2020</v>
      </c>
      <c r="C5" s="13">
        <v>8627852</v>
      </c>
      <c r="D5" s="24">
        <f>I5+J5+K5</f>
        <v>706</v>
      </c>
      <c r="E5" s="22">
        <v>0.8</v>
      </c>
      <c r="F5" s="15">
        <f>C5/(I5+J5+K5)</f>
        <v>12220.753541076487</v>
      </c>
      <c r="G5" s="19"/>
      <c r="H5" s="19"/>
      <c r="I5" s="10">
        <v>706</v>
      </c>
      <c r="K5" s="11"/>
      <c r="M5" s="9"/>
    </row>
    <row r="6" spans="2:16" x14ac:dyDescent="0.55000000000000004">
      <c r="B6" s="13">
        <v>2021</v>
      </c>
      <c r="C6" s="12">
        <v>8502614</v>
      </c>
      <c r="D6" s="24">
        <f>I6+J6+K6</f>
        <v>710</v>
      </c>
      <c r="E6" s="22">
        <v>0.8</v>
      </c>
      <c r="F6" s="15">
        <f>C6/(I6+J6+K6)</f>
        <v>11975.512676056338</v>
      </c>
      <c r="G6" s="15"/>
      <c r="H6" s="15"/>
      <c r="I6" s="12">
        <v>710</v>
      </c>
      <c r="K6" s="11"/>
      <c r="M6" s="9"/>
    </row>
    <row r="7" spans="2:16" x14ac:dyDescent="0.55000000000000004">
      <c r="B7" s="13">
        <v>2022</v>
      </c>
      <c r="C7" s="13">
        <v>8377150</v>
      </c>
      <c r="D7" s="24">
        <f>I7+J7+K7</f>
        <v>736</v>
      </c>
      <c r="E7" s="22">
        <v>0.87858042412992476</v>
      </c>
      <c r="F7" s="15">
        <f>C7/(I7+J7+K7)</f>
        <v>11381.997282608696</v>
      </c>
      <c r="G7" s="20"/>
      <c r="H7" s="20"/>
      <c r="I7" s="14">
        <v>735</v>
      </c>
      <c r="K7" s="14">
        <v>1</v>
      </c>
    </row>
    <row r="8" spans="2:16" x14ac:dyDescent="0.55000000000000004">
      <c r="B8" s="13">
        <v>2023</v>
      </c>
      <c r="C8" s="13">
        <v>8840134</v>
      </c>
      <c r="D8" s="24">
        <f>I8+J8+K8</f>
        <v>744</v>
      </c>
      <c r="E8" s="23">
        <v>0.83369776973968945</v>
      </c>
      <c r="F8" s="15">
        <f>C8/(I8+J8+K8)</f>
        <v>11881.900537634408</v>
      </c>
      <c r="G8" s="15"/>
      <c r="H8" s="15"/>
      <c r="I8" s="13">
        <v>737</v>
      </c>
      <c r="J8" s="13">
        <v>0</v>
      </c>
      <c r="K8" s="13">
        <v>7</v>
      </c>
      <c r="O8" s="13"/>
      <c r="P8" s="13"/>
    </row>
    <row r="9" spans="2:16" x14ac:dyDescent="0.55000000000000004">
      <c r="B9" s="13">
        <v>2024</v>
      </c>
      <c r="C9" s="13">
        <v>8688059</v>
      </c>
      <c r="D9" s="24">
        <f>I9+J9+K9</f>
        <v>752</v>
      </c>
      <c r="E9" s="23">
        <v>0.86555581632214984</v>
      </c>
      <c r="F9" s="24">
        <v>11553.26994680851</v>
      </c>
      <c r="G9" s="13"/>
      <c r="H9" s="13"/>
      <c r="I9" s="13">
        <v>745</v>
      </c>
      <c r="J9" s="13">
        <v>7</v>
      </c>
      <c r="K9" s="16"/>
      <c r="M9" s="17"/>
    </row>
    <row r="10" spans="2:16" x14ac:dyDescent="0.55000000000000004">
      <c r="B10" s="13">
        <v>2025</v>
      </c>
      <c r="C10" s="13">
        <v>8562125</v>
      </c>
      <c r="D10" s="24">
        <f>I10+J10+K10</f>
        <v>769</v>
      </c>
      <c r="E10" s="23">
        <v>0.898141524446326</v>
      </c>
      <c r="F10" s="24">
        <v>11134.102730819246</v>
      </c>
      <c r="G10" s="13"/>
      <c r="H10" s="13"/>
      <c r="I10" s="13">
        <v>766</v>
      </c>
      <c r="J10" s="13">
        <v>3</v>
      </c>
      <c r="K10" s="16"/>
      <c r="M10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 Duran</dc:creator>
  <cp:lastModifiedBy>Claudia M Duran</cp:lastModifiedBy>
  <dcterms:created xsi:type="dcterms:W3CDTF">2015-06-05T18:17:20Z</dcterms:created>
  <dcterms:modified xsi:type="dcterms:W3CDTF">2026-05-09T14:08:13Z</dcterms:modified>
</cp:coreProperties>
</file>